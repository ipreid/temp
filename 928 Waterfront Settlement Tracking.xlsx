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an.reid\Documents\Personal\"/>
    </mc:Choice>
  </mc:AlternateContent>
  <xr:revisionPtr revIDLastSave="0" documentId="13_ncr:1_{92FAD98F-B1F7-42BA-A33D-2FD048C18768}" xr6:coauthVersionLast="47" xr6:coauthVersionMax="47" xr10:uidLastSave="{00000000-0000-0000-0000-000000000000}"/>
  <bookViews>
    <workbookView xWindow="-120" yWindow="-120" windowWidth="29040" windowHeight="15720" xr2:uid="{73CB6095-AC03-4E1E-AD25-BB08D4810FB3}"/>
  </bookViews>
  <sheets>
    <sheet name="Sheet1" sheetId="1" r:id="rId1"/>
    <sheet name="Sheet1 (2)" sheetId="2" r:id="rId2"/>
  </sheets>
  <definedNames>
    <definedName name="_xlnm.Print_Area" localSheetId="0">Sheet1!$A$1:$D$44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D4" i="1" s="1"/>
  <c r="C4" i="1"/>
  <c r="D7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D15" i="2"/>
  <c r="D14" i="2"/>
  <c r="D13" i="2"/>
  <c r="D12" i="2"/>
  <c r="D11" i="2"/>
  <c r="D10" i="2"/>
  <c r="D9" i="2"/>
  <c r="D8" i="2"/>
  <c r="C8" i="2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4" i="2"/>
  <c r="D15" i="1"/>
  <c r="D14" i="1"/>
  <c r="D13" i="1"/>
  <c r="D9" i="1"/>
  <c r="D10" i="1"/>
  <c r="D11" i="1"/>
  <c r="D12" i="1"/>
  <c r="D8" i="1"/>
  <c r="A10" i="1"/>
  <c r="C8" i="1"/>
  <c r="C9" i="1" s="1"/>
  <c r="B4" i="2" l="1"/>
  <c r="D7" i="1"/>
  <c r="B4" i="1" s="1"/>
  <c r="C10" i="1"/>
  <c r="C11" i="1" s="1"/>
  <c r="C12" i="1" s="1"/>
  <c r="C13" i="1" s="1"/>
  <c r="C14" i="1" s="1"/>
  <c r="C15" i="1" l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</calcChain>
</file>

<file path=xl/sharedStrings.xml><?xml version="1.0" encoding="utf-8"?>
<sst xmlns="http://schemas.openxmlformats.org/spreadsheetml/2006/main" count="20" uniqueCount="11">
  <si>
    <t>928 Waterfront Settlement Tracking</t>
  </si>
  <si>
    <t>Payment Date</t>
  </si>
  <si>
    <t>Amount</t>
  </si>
  <si>
    <t>Balance Remaining</t>
  </si>
  <si>
    <t>Total Paid</t>
  </si>
  <si>
    <t>Totals:</t>
  </si>
  <si>
    <t>Actual Percentage Paid</t>
  </si>
  <si>
    <t>*Calculated as # of biweekly periods from 1/1/2024 * standard payment ($75) / total due ($3,500).</t>
  </si>
  <si>
    <t>Current Percentage Scheduled to be Paid*</t>
  </si>
  <si>
    <r>
      <rPr>
        <b/>
        <i/>
        <u/>
        <sz val="9"/>
        <color theme="1"/>
        <rFont val="Calibri"/>
        <family val="2"/>
      </rPr>
      <t>Currently</t>
    </r>
    <r>
      <rPr>
        <b/>
        <i/>
        <sz val="9"/>
        <color theme="1"/>
        <rFont val="Calibri"/>
        <family val="2"/>
      </rPr>
      <t>:
~13.5 periods</t>
    </r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</si>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</sst>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 tint="-0.34998626667073579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i/>
      <sz val="9"/>
      <color theme="1"/>
      <name val="Calibri"/>
      <family val="2"/>
    </font>
    <font>
      <sz val="24"/>
      <color theme="1"/>
      <name val="Calibri"/>
      <family val="2"/>
    </font>
    <font>
      <b/>
      <i/>
      <sz val="9"/>
      <color theme="1"/>
      <name val="Calibri"/>
      <family val="2"/>
    </font>
    <font>
      <b/>
      <i/>
      <u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1" xfId="0" applyNumberFormat="1" applyBorder="1"/>
    <xf numFmtId="44" fontId="0" fillId="0" borderId="1" xfId="1" applyFont="1" applyBorder="1"/>
    <xf numFmtId="14" fontId="2" fillId="0" borderId="1" xfId="0" applyNumberFormat="1" applyFont="1" applyBorder="1"/>
    <xf numFmtId="44" fontId="2" fillId="0" borderId="1" xfId="1" applyFont="1" applyBorder="1"/>
    <xf numFmtId="0" fontId="0" fillId="0" borderId="1" xfId="0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14" fontId="4" fillId="0" borderId="1" xfId="0" applyNumberFormat="1" applyFont="1" applyBorder="1"/>
    <xf numFmtId="44" fontId="4" fillId="0" borderId="1" xfId="1" applyFont="1" applyBorder="1"/>
    <xf numFmtId="44" fontId="1" fillId="0" borderId="1" xfId="1" applyFont="1" applyBorder="1"/>
    <xf numFmtId="44" fontId="0" fillId="0" borderId="2" xfId="1" applyFont="1" applyBorder="1"/>
    <xf numFmtId="44" fontId="1" fillId="0" borderId="2" xfId="1" applyFont="1" applyBorder="1"/>
    <xf numFmtId="44" fontId="4" fillId="0" borderId="2" xfId="1" applyFont="1" applyBorder="1"/>
    <xf numFmtId="44" fontId="0" fillId="0" borderId="1" xfId="0" applyNumberFormat="1" applyBorder="1" applyAlignment="1">
      <alignment horizontal="center"/>
    </xf>
    <xf numFmtId="44" fontId="2" fillId="0" borderId="2" xfId="1" applyFont="1" applyBorder="1"/>
    <xf numFmtId="44" fontId="2" fillId="0" borderId="1" xfId="0" applyNumberFormat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7" xfId="1" applyFont="1" applyBorder="1"/>
    <xf numFmtId="44" fontId="0" fillId="0" borderId="8" xfId="1" applyFont="1" applyBorder="1"/>
    <xf numFmtId="44" fontId="0" fillId="0" borderId="7" xfId="0" applyNumberFormat="1" applyBorder="1" applyAlignment="1">
      <alignment horizontal="center"/>
    </xf>
    <xf numFmtId="44" fontId="3" fillId="0" borderId="9" xfId="1" applyFont="1" applyBorder="1"/>
    <xf numFmtId="44" fontId="3" fillId="0" borderId="10" xfId="1" applyFont="1" applyBorder="1"/>
    <xf numFmtId="44" fontId="3" fillId="0" borderId="11" xfId="1" applyFont="1" applyBorder="1"/>
    <xf numFmtId="0" fontId="7" fillId="0" borderId="0" xfId="0" applyFont="1"/>
    <xf numFmtId="164" fontId="8" fillId="0" borderId="12" xfId="2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4" fontId="7" fillId="0" borderId="0" xfId="0" applyNumberFormat="1" applyFont="1"/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4" fontId="4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4" fontId="2" fillId="0" borderId="7" xfId="1" applyFont="1" applyBorder="1"/>
    <xf numFmtId="44" fontId="2" fillId="0" borderId="8" xfId="1" applyFont="1" applyBorder="1"/>
    <xf numFmtId="44" fontId="2" fillId="0" borderId="7" xfId="0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4BDE-C574-41A7-9432-9DEDED6F59CD}">
  <sheetPr codeName="Sheet1">
    <pageSetUpPr fitToPage="1"/>
  </sheetPr>
  <dimension ref="A1:H44"/>
  <sheetViews>
    <sheetView tabSelected="1" view="pageBreakPreview" zoomScale="80" zoomScaleNormal="100" zoomScaleSheetLayoutView="80" workbookViewId="0">
      <pane ySplit="6" topLeftCell="A7" activePane="bottomLeft" state="frozen"/>
      <selection pane="bottomLeft" activeCell="D5" sqref="D5"/>
    </sheetView>
  </sheetViews>
  <sheetFormatPr defaultRowHeight="15" x14ac:dyDescent="0.25"/>
  <cols>
    <col min="1" max="1" width="13.5703125" bestFit="1" customWidth="1"/>
    <col min="2" max="2" width="17" style="1" bestFit="1" customWidth="1"/>
    <col min="3" max="3" width="22.140625" style="1" bestFit="1" customWidth="1"/>
    <col min="4" max="4" width="23.7109375" style="2" bestFit="1" customWidth="1"/>
    <col min="5" max="5" width="15.42578125" style="2" bestFit="1" customWidth="1"/>
    <col min="8" max="8" width="14.140625" bestFit="1" customWidth="1"/>
  </cols>
  <sheetData>
    <row r="1" spans="1:8" ht="31.5" x14ac:dyDescent="0.5">
      <c r="A1" s="38" t="s">
        <v>0</v>
      </c>
      <c r="B1" s="39"/>
      <c r="C1" s="39"/>
      <c r="D1" s="40"/>
    </row>
    <row r="2" spans="1:8" ht="7.5" customHeight="1" thickBot="1" x14ac:dyDescent="0.3"/>
    <row r="3" spans="1:8" s="31" customFormat="1" ht="48.75" thickBot="1" x14ac:dyDescent="0.3">
      <c r="B3" s="32" t="s">
        <v>6</v>
      </c>
      <c r="C3" s="32" t="s">
        <v>8</v>
      </c>
      <c r="D3" s="35" t="s">
        <v>7</v>
      </c>
      <c r="E3" s="33"/>
    </row>
    <row r="4" spans="1:8" s="28" customFormat="1" ht="27" thickBot="1" x14ac:dyDescent="0.45">
      <c r="B4" s="29">
        <f>-D7/C7</f>
        <v>0.4</v>
      </c>
      <c r="C4" s="29">
        <f ca="1">-(TODAY()-DATE(2024,1,1))/14*75/C7</f>
        <v>0.38265306122448978</v>
      </c>
      <c r="D4" s="36" t="str">
        <f ca="1">"Currently:
~"&amp;ROUND(F4,0)&amp;" periods"</f>
        <v>Currently:
~18 periods</v>
      </c>
      <c r="E4" s="30"/>
      <c r="F4" s="28">
        <f ca="1">(TODAY()-DATE(2024,1,1))/14</f>
        <v>17.857142857142858</v>
      </c>
      <c r="H4" s="34"/>
    </row>
    <row r="6" spans="1:8" s="2" customFormat="1" ht="15.75" thickBot="1" x14ac:dyDescent="0.3">
      <c r="A6" s="7" t="s">
        <v>1</v>
      </c>
      <c r="B6" s="19" t="s">
        <v>2</v>
      </c>
      <c r="C6" s="20" t="s">
        <v>3</v>
      </c>
      <c r="D6" s="21" t="s">
        <v>4</v>
      </c>
    </row>
    <row r="7" spans="1:8" s="9" customFormat="1" ht="19.5" thickBot="1" x14ac:dyDescent="0.35">
      <c r="A7" s="8"/>
      <c r="B7" s="25" t="s">
        <v>5</v>
      </c>
      <c r="C7" s="27">
        <v>-3500</v>
      </c>
      <c r="D7" s="26">
        <f>MAX(D8:D43)</f>
        <v>1400</v>
      </c>
    </row>
    <row r="8" spans="1:8" x14ac:dyDescent="0.25">
      <c r="A8" s="3">
        <v>45331</v>
      </c>
      <c r="B8" s="22">
        <v>250</v>
      </c>
      <c r="C8" s="23">
        <f>C7+B8</f>
        <v>-3250</v>
      </c>
      <c r="D8" s="24">
        <f>SUM(B$8:B8)</f>
        <v>250</v>
      </c>
    </row>
    <row r="9" spans="1:8" x14ac:dyDescent="0.25">
      <c r="A9" s="3">
        <v>45338</v>
      </c>
      <c r="B9" s="4">
        <v>100</v>
      </c>
      <c r="C9" s="13">
        <f>C8+B9</f>
        <v>-3150</v>
      </c>
      <c r="D9" s="16">
        <f>SUM(B$8:B9)</f>
        <v>350</v>
      </c>
    </row>
    <row r="10" spans="1:8" x14ac:dyDescent="0.25">
      <c r="A10" s="3">
        <f t="shared" ref="A10" si="0">A9+14</f>
        <v>45352</v>
      </c>
      <c r="B10" s="12">
        <v>150</v>
      </c>
      <c r="C10" s="14">
        <f t="shared" ref="C10:C43" si="1">C9+B10</f>
        <v>-3000</v>
      </c>
      <c r="D10" s="16">
        <f>SUM(B$8:B10)</f>
        <v>500</v>
      </c>
    </row>
    <row r="11" spans="1:8" x14ac:dyDescent="0.25">
      <c r="A11" s="3">
        <v>45401</v>
      </c>
      <c r="B11" s="12">
        <v>200</v>
      </c>
      <c r="C11" s="14">
        <f t="shared" si="1"/>
        <v>-2800</v>
      </c>
      <c r="D11" s="16">
        <f>SUM(B$8:B11)</f>
        <v>700</v>
      </c>
    </row>
    <row r="12" spans="1:8" x14ac:dyDescent="0.25">
      <c r="A12" s="3">
        <v>45428</v>
      </c>
      <c r="B12" s="12">
        <v>150</v>
      </c>
      <c r="C12" s="14">
        <f t="shared" si="1"/>
        <v>-2650</v>
      </c>
      <c r="D12" s="16">
        <f>SUM(B$8:B12)</f>
        <v>850</v>
      </c>
    </row>
    <row r="13" spans="1:8" x14ac:dyDescent="0.25">
      <c r="A13" s="3">
        <v>45453</v>
      </c>
      <c r="B13" s="12">
        <v>100</v>
      </c>
      <c r="C13" s="14">
        <f t="shared" si="1"/>
        <v>-2550</v>
      </c>
      <c r="D13" s="16">
        <f>SUM(B$8:B13)</f>
        <v>950</v>
      </c>
    </row>
    <row r="14" spans="1:8" x14ac:dyDescent="0.25">
      <c r="A14" s="3">
        <v>45482</v>
      </c>
      <c r="B14" s="12">
        <v>200</v>
      </c>
      <c r="C14" s="14">
        <f>C13+B14</f>
        <v>-2350</v>
      </c>
      <c r="D14" s="16">
        <f>SUM(B$8:B14)</f>
        <v>1150</v>
      </c>
    </row>
    <row r="15" spans="1:8" x14ac:dyDescent="0.25">
      <c r="A15" s="10">
        <v>45540</v>
      </c>
      <c r="B15" s="11">
        <v>250</v>
      </c>
      <c r="C15" s="15">
        <f t="shared" si="1"/>
        <v>-2100</v>
      </c>
      <c r="D15" s="37">
        <f>SUM(B$8:B15)</f>
        <v>1400</v>
      </c>
    </row>
    <row r="16" spans="1:8" x14ac:dyDescent="0.25">
      <c r="A16" s="5">
        <v>45506</v>
      </c>
      <c r="B16" s="6">
        <v>75</v>
      </c>
      <c r="C16" s="17">
        <f t="shared" si="1"/>
        <v>-2025</v>
      </c>
      <c r="D16" s="18"/>
    </row>
    <row r="17" spans="1:4" x14ac:dyDescent="0.25">
      <c r="A17" s="5">
        <v>45520</v>
      </c>
      <c r="B17" s="6">
        <v>75</v>
      </c>
      <c r="C17" s="17">
        <f t="shared" si="1"/>
        <v>-1950</v>
      </c>
      <c r="D17" s="18"/>
    </row>
    <row r="18" spans="1:4" x14ac:dyDescent="0.25">
      <c r="A18" s="5">
        <v>45534</v>
      </c>
      <c r="B18" s="6">
        <v>75</v>
      </c>
      <c r="C18" s="17">
        <f t="shared" si="1"/>
        <v>-1875</v>
      </c>
      <c r="D18" s="18"/>
    </row>
    <row r="19" spans="1:4" x14ac:dyDescent="0.25">
      <c r="A19" s="5">
        <v>45548</v>
      </c>
      <c r="B19" s="6">
        <v>75</v>
      </c>
      <c r="C19" s="17">
        <f t="shared" si="1"/>
        <v>-1800</v>
      </c>
      <c r="D19" s="18"/>
    </row>
    <row r="20" spans="1:4" x14ac:dyDescent="0.25">
      <c r="A20" s="5">
        <v>45562</v>
      </c>
      <c r="B20" s="6">
        <v>75</v>
      </c>
      <c r="C20" s="17">
        <f t="shared" si="1"/>
        <v>-1725</v>
      </c>
      <c r="D20" s="18"/>
    </row>
    <row r="21" spans="1:4" x14ac:dyDescent="0.25">
      <c r="A21" s="5">
        <v>45576</v>
      </c>
      <c r="B21" s="6">
        <v>75</v>
      </c>
      <c r="C21" s="17">
        <f t="shared" si="1"/>
        <v>-1650</v>
      </c>
      <c r="D21" s="18"/>
    </row>
    <row r="22" spans="1:4" x14ac:dyDescent="0.25">
      <c r="A22" s="5">
        <v>45590</v>
      </c>
      <c r="B22" s="6">
        <v>75</v>
      </c>
      <c r="C22" s="17">
        <f t="shared" si="1"/>
        <v>-1575</v>
      </c>
      <c r="D22" s="18"/>
    </row>
    <row r="23" spans="1:4" x14ac:dyDescent="0.25">
      <c r="A23" s="5">
        <v>45604</v>
      </c>
      <c r="B23" s="6">
        <v>75</v>
      </c>
      <c r="C23" s="17">
        <f t="shared" si="1"/>
        <v>-1500</v>
      </c>
      <c r="D23" s="18"/>
    </row>
    <row r="24" spans="1:4" x14ac:dyDescent="0.25">
      <c r="A24" s="5">
        <v>45618</v>
      </c>
      <c r="B24" s="6">
        <v>75</v>
      </c>
      <c r="C24" s="17">
        <f t="shared" si="1"/>
        <v>-1425</v>
      </c>
      <c r="D24" s="18"/>
    </row>
    <row r="25" spans="1:4" x14ac:dyDescent="0.25">
      <c r="A25" s="5">
        <v>45632</v>
      </c>
      <c r="B25" s="6">
        <v>75</v>
      </c>
      <c r="C25" s="17">
        <f t="shared" si="1"/>
        <v>-1350</v>
      </c>
      <c r="D25" s="18"/>
    </row>
    <row r="26" spans="1:4" x14ac:dyDescent="0.25">
      <c r="A26" s="5">
        <v>45646</v>
      </c>
      <c r="B26" s="6">
        <v>75</v>
      </c>
      <c r="C26" s="17">
        <f t="shared" si="1"/>
        <v>-1275</v>
      </c>
      <c r="D26" s="18"/>
    </row>
    <row r="27" spans="1:4" x14ac:dyDescent="0.25">
      <c r="A27" s="5">
        <v>45660</v>
      </c>
      <c r="B27" s="6">
        <v>75</v>
      </c>
      <c r="C27" s="17">
        <f t="shared" si="1"/>
        <v>-1200</v>
      </c>
      <c r="D27" s="18"/>
    </row>
    <row r="28" spans="1:4" x14ac:dyDescent="0.25">
      <c r="A28" s="5">
        <v>45674</v>
      </c>
      <c r="B28" s="6">
        <v>75</v>
      </c>
      <c r="C28" s="17">
        <f t="shared" si="1"/>
        <v>-1125</v>
      </c>
      <c r="D28" s="18"/>
    </row>
    <row r="29" spans="1:4" x14ac:dyDescent="0.25">
      <c r="A29" s="5">
        <v>45688</v>
      </c>
      <c r="B29" s="6">
        <v>75</v>
      </c>
      <c r="C29" s="17">
        <f t="shared" si="1"/>
        <v>-1050</v>
      </c>
      <c r="D29" s="18"/>
    </row>
    <row r="30" spans="1:4" x14ac:dyDescent="0.25">
      <c r="A30" s="5">
        <v>45702</v>
      </c>
      <c r="B30" s="6">
        <v>75</v>
      </c>
      <c r="C30" s="17">
        <f t="shared" si="1"/>
        <v>-975</v>
      </c>
      <c r="D30" s="18"/>
    </row>
    <row r="31" spans="1:4" x14ac:dyDescent="0.25">
      <c r="A31" s="5">
        <v>45716</v>
      </c>
      <c r="B31" s="6">
        <v>75</v>
      </c>
      <c r="C31" s="17">
        <f t="shared" si="1"/>
        <v>-900</v>
      </c>
      <c r="D31" s="18"/>
    </row>
    <row r="32" spans="1:4" x14ac:dyDescent="0.25">
      <c r="A32" s="5">
        <v>45730</v>
      </c>
      <c r="B32" s="6">
        <v>75</v>
      </c>
      <c r="C32" s="17">
        <f t="shared" si="1"/>
        <v>-825</v>
      </c>
      <c r="D32" s="18"/>
    </row>
    <row r="33" spans="1:4" x14ac:dyDescent="0.25">
      <c r="A33" s="5">
        <v>45744</v>
      </c>
      <c r="B33" s="6">
        <v>75</v>
      </c>
      <c r="C33" s="17">
        <f t="shared" si="1"/>
        <v>-750</v>
      </c>
      <c r="D33" s="18"/>
    </row>
    <row r="34" spans="1:4" x14ac:dyDescent="0.25">
      <c r="A34" s="5">
        <v>45758</v>
      </c>
      <c r="B34" s="6">
        <v>75</v>
      </c>
      <c r="C34" s="17">
        <f t="shared" si="1"/>
        <v>-675</v>
      </c>
      <c r="D34" s="18"/>
    </row>
    <row r="35" spans="1:4" x14ac:dyDescent="0.25">
      <c r="A35" s="5">
        <v>45772</v>
      </c>
      <c r="B35" s="6">
        <v>75</v>
      </c>
      <c r="C35" s="17">
        <f t="shared" si="1"/>
        <v>-600</v>
      </c>
      <c r="D35" s="18"/>
    </row>
    <row r="36" spans="1:4" x14ac:dyDescent="0.25">
      <c r="A36" s="5">
        <v>45786</v>
      </c>
      <c r="B36" s="6">
        <v>75</v>
      </c>
      <c r="C36" s="17">
        <f t="shared" si="1"/>
        <v>-525</v>
      </c>
      <c r="D36" s="18"/>
    </row>
    <row r="37" spans="1:4" x14ac:dyDescent="0.25">
      <c r="A37" s="5">
        <v>45800</v>
      </c>
      <c r="B37" s="6">
        <v>75</v>
      </c>
      <c r="C37" s="17">
        <f t="shared" si="1"/>
        <v>-450</v>
      </c>
      <c r="D37" s="18"/>
    </row>
    <row r="38" spans="1:4" x14ac:dyDescent="0.25">
      <c r="A38" s="5">
        <v>45814</v>
      </c>
      <c r="B38" s="6">
        <v>75</v>
      </c>
      <c r="C38" s="17">
        <f t="shared" si="1"/>
        <v>-375</v>
      </c>
      <c r="D38" s="18"/>
    </row>
    <row r="39" spans="1:4" x14ac:dyDescent="0.25">
      <c r="A39" s="5">
        <v>45828</v>
      </c>
      <c r="B39" s="6">
        <v>75</v>
      </c>
      <c r="C39" s="17">
        <f t="shared" si="1"/>
        <v>-300</v>
      </c>
      <c r="D39" s="18"/>
    </row>
    <row r="40" spans="1:4" x14ac:dyDescent="0.25">
      <c r="A40" s="5">
        <v>45842</v>
      </c>
      <c r="B40" s="6">
        <v>75</v>
      </c>
      <c r="C40" s="17">
        <f t="shared" si="1"/>
        <v>-225</v>
      </c>
      <c r="D40" s="18"/>
    </row>
    <row r="41" spans="1:4" x14ac:dyDescent="0.25">
      <c r="A41" s="5">
        <v>45856</v>
      </c>
      <c r="B41" s="6">
        <v>75</v>
      </c>
      <c r="C41" s="17">
        <f t="shared" si="1"/>
        <v>-150</v>
      </c>
      <c r="D41" s="18"/>
    </row>
    <row r="42" spans="1:4" x14ac:dyDescent="0.25">
      <c r="A42" s="5">
        <v>45870</v>
      </c>
      <c r="B42" s="6">
        <v>75</v>
      </c>
      <c r="C42" s="17">
        <f t="shared" si="1"/>
        <v>-75</v>
      </c>
      <c r="D42" s="18"/>
    </row>
    <row r="43" spans="1:4" x14ac:dyDescent="0.25">
      <c r="A43" s="5">
        <v>45884</v>
      </c>
      <c r="B43" s="6">
        <v>75</v>
      </c>
      <c r="C43" s="17">
        <f t="shared" si="1"/>
        <v>0</v>
      </c>
      <c r="D43" s="18"/>
    </row>
    <row r="44" spans="1:4" x14ac:dyDescent="0.25">
      <c r="A44" t="s">
        <v>10</v>
      </c>
    </row>
  </sheetData>
  <mergeCells count="1">
    <mergeCell ref="A1:D1"/>
  </mergeCells>
  <printOptions horizontalCentered="1"/>
  <pageMargins left="0.25" right="0.25" top="0.75" bottom="0.75" header="0.3" footer="0.3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3F0A-E62B-4C5F-8345-07A52D831162}">
  <sheetPr>
    <pageSetUpPr fitToPage="1"/>
  </sheetPr>
  <dimension ref="A1:H54"/>
  <sheetViews>
    <sheetView workbookViewId="0">
      <pane ySplit="6" topLeftCell="A7" activePane="bottomLeft" state="frozen"/>
      <selection pane="bottomLeft" activeCell="D8" sqref="D8"/>
    </sheetView>
  </sheetViews>
  <sheetFormatPr defaultRowHeight="15" x14ac:dyDescent="0.25"/>
  <cols>
    <col min="1" max="1" width="13.5703125" bestFit="1" customWidth="1"/>
    <col min="2" max="2" width="17" style="1" bestFit="1" customWidth="1"/>
    <col min="3" max="3" width="22.140625" style="1" bestFit="1" customWidth="1"/>
    <col min="4" max="4" width="23.7109375" style="2" bestFit="1" customWidth="1"/>
    <col min="5" max="5" width="15.42578125" style="2" bestFit="1" customWidth="1"/>
    <col min="8" max="8" width="14.140625" bestFit="1" customWidth="1"/>
  </cols>
  <sheetData>
    <row r="1" spans="1:8" ht="31.5" x14ac:dyDescent="0.5">
      <c r="A1" s="38" t="s">
        <v>0</v>
      </c>
      <c r="B1" s="39"/>
      <c r="C1" s="39"/>
      <c r="D1" s="40"/>
    </row>
    <row r="2" spans="1:8" ht="7.5" customHeight="1" thickBot="1" x14ac:dyDescent="0.3"/>
    <row r="3" spans="1:8" s="31" customFormat="1" ht="48.75" thickBot="1" x14ac:dyDescent="0.3">
      <c r="B3" s="32" t="s">
        <v>6</v>
      </c>
      <c r="C3" s="32" t="s">
        <v>8</v>
      </c>
      <c r="D3" s="35" t="s">
        <v>7</v>
      </c>
      <c r="E3" s="33"/>
    </row>
    <row r="4" spans="1:8" s="28" customFormat="1" ht="27" thickBot="1" x14ac:dyDescent="0.45">
      <c r="B4" s="29">
        <f>-D7/C7</f>
        <v>1</v>
      </c>
      <c r="C4" s="29">
        <f ca="1">-(TODAY()-DATE(2024,1,1))/14*75/C7</f>
        <v>0.38265306122448978</v>
      </c>
      <c r="D4" s="36" t="s">
        <v>9</v>
      </c>
      <c r="E4" s="30"/>
      <c r="H4" s="34"/>
    </row>
    <row r="6" spans="1:8" s="2" customFormat="1" ht="15.75" thickBot="1" x14ac:dyDescent="0.3">
      <c r="A6" s="7" t="s">
        <v>1</v>
      </c>
      <c r="B6" s="19" t="s">
        <v>2</v>
      </c>
      <c r="C6" s="20" t="s">
        <v>3</v>
      </c>
      <c r="D6" s="21" t="s">
        <v>4</v>
      </c>
    </row>
    <row r="7" spans="1:8" s="9" customFormat="1" ht="19.5" thickBot="1" x14ac:dyDescent="0.35">
      <c r="A7" s="8"/>
      <c r="B7" s="25" t="s">
        <v>5</v>
      </c>
      <c r="C7" s="27">
        <v>-3500</v>
      </c>
      <c r="D7" s="26">
        <f>MAX(D8:D100)</f>
        <v>3500</v>
      </c>
    </row>
    <row r="8" spans="1:8" x14ac:dyDescent="0.25">
      <c r="A8" s="5">
        <v>45296</v>
      </c>
      <c r="B8" s="41">
        <v>75</v>
      </c>
      <c r="C8" s="42">
        <f>C7+B8</f>
        <v>-3425</v>
      </c>
      <c r="D8" s="43">
        <f>SUM(B$8:B8)</f>
        <v>75</v>
      </c>
    </row>
    <row r="9" spans="1:8" x14ac:dyDescent="0.25">
      <c r="A9" s="5">
        <f>A8+14</f>
        <v>45310</v>
      </c>
      <c r="B9" s="41">
        <v>75</v>
      </c>
      <c r="C9" s="17">
        <f>C8+B9</f>
        <v>-3350</v>
      </c>
      <c r="D9" s="18">
        <f>SUM(B$8:B9)</f>
        <v>150</v>
      </c>
    </row>
    <row r="10" spans="1:8" x14ac:dyDescent="0.25">
      <c r="A10" s="5">
        <f t="shared" ref="A10:A46" si="0">A9+14</f>
        <v>45324</v>
      </c>
      <c r="B10" s="41">
        <v>75</v>
      </c>
      <c r="C10" s="17">
        <f t="shared" ref="C10:C43" si="1">C9+B10</f>
        <v>-3275</v>
      </c>
      <c r="D10" s="18">
        <f>SUM(B$8:B10)</f>
        <v>225</v>
      </c>
    </row>
    <row r="11" spans="1:8" x14ac:dyDescent="0.25">
      <c r="A11" s="5">
        <f t="shared" si="0"/>
        <v>45338</v>
      </c>
      <c r="B11" s="41">
        <v>75</v>
      </c>
      <c r="C11" s="17">
        <f t="shared" si="1"/>
        <v>-3200</v>
      </c>
      <c r="D11" s="18">
        <f>SUM(B$8:B11)</f>
        <v>300</v>
      </c>
    </row>
    <row r="12" spans="1:8" x14ac:dyDescent="0.25">
      <c r="A12" s="5">
        <f t="shared" si="0"/>
        <v>45352</v>
      </c>
      <c r="B12" s="41">
        <v>75</v>
      </c>
      <c r="C12" s="17">
        <f t="shared" si="1"/>
        <v>-3125</v>
      </c>
      <c r="D12" s="18">
        <f>SUM(B$8:B12)</f>
        <v>375</v>
      </c>
    </row>
    <row r="13" spans="1:8" x14ac:dyDescent="0.25">
      <c r="A13" s="5">
        <f t="shared" si="0"/>
        <v>45366</v>
      </c>
      <c r="B13" s="41">
        <v>75</v>
      </c>
      <c r="C13" s="17">
        <f t="shared" si="1"/>
        <v>-3050</v>
      </c>
      <c r="D13" s="18">
        <f>SUM(B$8:B13)</f>
        <v>450</v>
      </c>
    </row>
    <row r="14" spans="1:8" x14ac:dyDescent="0.25">
      <c r="A14" s="5">
        <f t="shared" si="0"/>
        <v>45380</v>
      </c>
      <c r="B14" s="41">
        <v>75</v>
      </c>
      <c r="C14" s="17">
        <f>C13+B14</f>
        <v>-2975</v>
      </c>
      <c r="D14" s="18">
        <f>SUM(B$8:B14)</f>
        <v>525</v>
      </c>
    </row>
    <row r="15" spans="1:8" x14ac:dyDescent="0.25">
      <c r="A15" s="5">
        <f t="shared" si="0"/>
        <v>45394</v>
      </c>
      <c r="B15" s="41">
        <v>75</v>
      </c>
      <c r="C15" s="17">
        <f t="shared" si="1"/>
        <v>-2900</v>
      </c>
      <c r="D15" s="18">
        <f>SUM(B$8:B15)</f>
        <v>600</v>
      </c>
    </row>
    <row r="16" spans="1:8" x14ac:dyDescent="0.25">
      <c r="A16" s="5">
        <f t="shared" si="0"/>
        <v>45408</v>
      </c>
      <c r="B16" s="6">
        <v>75</v>
      </c>
      <c r="C16" s="17">
        <f t="shared" si="1"/>
        <v>-2825</v>
      </c>
      <c r="D16" s="18">
        <f>SUM(B$8:B16)</f>
        <v>675</v>
      </c>
    </row>
    <row r="17" spans="1:4" x14ac:dyDescent="0.25">
      <c r="A17" s="5">
        <f t="shared" si="0"/>
        <v>45422</v>
      </c>
      <c r="B17" s="6">
        <v>75</v>
      </c>
      <c r="C17" s="17">
        <f t="shared" si="1"/>
        <v>-2750</v>
      </c>
      <c r="D17" s="18">
        <f>SUM(B$8:B17)</f>
        <v>750</v>
      </c>
    </row>
    <row r="18" spans="1:4" x14ac:dyDescent="0.25">
      <c r="A18" s="5">
        <f t="shared" si="0"/>
        <v>45436</v>
      </c>
      <c r="B18" s="6">
        <v>75</v>
      </c>
      <c r="C18" s="17">
        <f t="shared" si="1"/>
        <v>-2675</v>
      </c>
      <c r="D18" s="18">
        <f>SUM(B$8:B18)</f>
        <v>825</v>
      </c>
    </row>
    <row r="19" spans="1:4" x14ac:dyDescent="0.25">
      <c r="A19" s="5">
        <f t="shared" si="0"/>
        <v>45450</v>
      </c>
      <c r="B19" s="6">
        <v>75</v>
      </c>
      <c r="C19" s="17">
        <f t="shared" si="1"/>
        <v>-2600</v>
      </c>
      <c r="D19" s="18">
        <f>SUM(B$8:B19)</f>
        <v>900</v>
      </c>
    </row>
    <row r="20" spans="1:4" x14ac:dyDescent="0.25">
      <c r="A20" s="5">
        <f t="shared" si="0"/>
        <v>45464</v>
      </c>
      <c r="B20" s="6">
        <v>75</v>
      </c>
      <c r="C20" s="17">
        <f t="shared" si="1"/>
        <v>-2525</v>
      </c>
      <c r="D20" s="18">
        <f>SUM(B$8:B20)</f>
        <v>975</v>
      </c>
    </row>
    <row r="21" spans="1:4" x14ac:dyDescent="0.25">
      <c r="A21" s="5">
        <f t="shared" si="0"/>
        <v>45478</v>
      </c>
      <c r="B21" s="6">
        <v>75</v>
      </c>
      <c r="C21" s="17">
        <f t="shared" si="1"/>
        <v>-2450</v>
      </c>
      <c r="D21" s="18">
        <f>SUM(B$8:B21)</f>
        <v>1050</v>
      </c>
    </row>
    <row r="22" spans="1:4" x14ac:dyDescent="0.25">
      <c r="A22" s="5">
        <f t="shared" si="0"/>
        <v>45492</v>
      </c>
      <c r="B22" s="6">
        <v>75</v>
      </c>
      <c r="C22" s="17">
        <f t="shared" si="1"/>
        <v>-2375</v>
      </c>
      <c r="D22" s="18">
        <f>SUM(B$8:B22)</f>
        <v>1125</v>
      </c>
    </row>
    <row r="23" spans="1:4" x14ac:dyDescent="0.25">
      <c r="A23" s="5">
        <f t="shared" si="0"/>
        <v>45506</v>
      </c>
      <c r="B23" s="6">
        <v>75</v>
      </c>
      <c r="C23" s="17">
        <f t="shared" si="1"/>
        <v>-2300</v>
      </c>
      <c r="D23" s="18">
        <f>SUM(B$8:B23)</f>
        <v>1200</v>
      </c>
    </row>
    <row r="24" spans="1:4" x14ac:dyDescent="0.25">
      <c r="A24" s="5">
        <f t="shared" si="0"/>
        <v>45520</v>
      </c>
      <c r="B24" s="6">
        <v>75</v>
      </c>
      <c r="C24" s="17">
        <f t="shared" si="1"/>
        <v>-2225</v>
      </c>
      <c r="D24" s="18">
        <f>SUM(B$8:B24)</f>
        <v>1275</v>
      </c>
    </row>
    <row r="25" spans="1:4" x14ac:dyDescent="0.25">
      <c r="A25" s="5">
        <f t="shared" si="0"/>
        <v>45534</v>
      </c>
      <c r="B25" s="6">
        <v>75</v>
      </c>
      <c r="C25" s="17">
        <f t="shared" si="1"/>
        <v>-2150</v>
      </c>
      <c r="D25" s="18">
        <f>SUM(B$8:B25)</f>
        <v>1350</v>
      </c>
    </row>
    <row r="26" spans="1:4" x14ac:dyDescent="0.25">
      <c r="A26" s="5">
        <f t="shared" si="0"/>
        <v>45548</v>
      </c>
      <c r="B26" s="6">
        <v>75</v>
      </c>
      <c r="C26" s="17">
        <f t="shared" si="1"/>
        <v>-2075</v>
      </c>
      <c r="D26" s="18">
        <f>SUM(B$8:B26)</f>
        <v>1425</v>
      </c>
    </row>
    <row r="27" spans="1:4" x14ac:dyDescent="0.25">
      <c r="A27" s="5">
        <f t="shared" si="0"/>
        <v>45562</v>
      </c>
      <c r="B27" s="6">
        <v>75</v>
      </c>
      <c r="C27" s="17">
        <f t="shared" si="1"/>
        <v>-2000</v>
      </c>
      <c r="D27" s="18">
        <f>SUM(B$8:B27)</f>
        <v>1500</v>
      </c>
    </row>
    <row r="28" spans="1:4" x14ac:dyDescent="0.25">
      <c r="A28" s="5">
        <f t="shared" si="0"/>
        <v>45576</v>
      </c>
      <c r="B28" s="6">
        <v>75</v>
      </c>
      <c r="C28" s="17">
        <f t="shared" si="1"/>
        <v>-1925</v>
      </c>
      <c r="D28" s="18">
        <f>SUM(B$8:B28)</f>
        <v>1575</v>
      </c>
    </row>
    <row r="29" spans="1:4" x14ac:dyDescent="0.25">
      <c r="A29" s="5">
        <f t="shared" si="0"/>
        <v>45590</v>
      </c>
      <c r="B29" s="6">
        <v>75</v>
      </c>
      <c r="C29" s="17">
        <f t="shared" si="1"/>
        <v>-1850</v>
      </c>
      <c r="D29" s="18">
        <f>SUM(B$8:B29)</f>
        <v>1650</v>
      </c>
    </row>
    <row r="30" spans="1:4" x14ac:dyDescent="0.25">
      <c r="A30" s="5">
        <f t="shared" si="0"/>
        <v>45604</v>
      </c>
      <c r="B30" s="6">
        <v>75</v>
      </c>
      <c r="C30" s="17">
        <f t="shared" si="1"/>
        <v>-1775</v>
      </c>
      <c r="D30" s="18">
        <f>SUM(B$8:B30)</f>
        <v>1725</v>
      </c>
    </row>
    <row r="31" spans="1:4" x14ac:dyDescent="0.25">
      <c r="A31" s="5">
        <f t="shared" si="0"/>
        <v>45618</v>
      </c>
      <c r="B31" s="6">
        <v>75</v>
      </c>
      <c r="C31" s="17">
        <f t="shared" si="1"/>
        <v>-1700</v>
      </c>
      <c r="D31" s="18">
        <f>SUM(B$8:B31)</f>
        <v>1800</v>
      </c>
    </row>
    <row r="32" spans="1:4" x14ac:dyDescent="0.25">
      <c r="A32" s="5">
        <f t="shared" si="0"/>
        <v>45632</v>
      </c>
      <c r="B32" s="6">
        <v>75</v>
      </c>
      <c r="C32" s="17">
        <f t="shared" si="1"/>
        <v>-1625</v>
      </c>
      <c r="D32" s="18">
        <f>SUM(B$8:B32)</f>
        <v>1875</v>
      </c>
    </row>
    <row r="33" spans="1:4" x14ac:dyDescent="0.25">
      <c r="A33" s="5">
        <f t="shared" si="0"/>
        <v>45646</v>
      </c>
      <c r="B33" s="6">
        <v>75</v>
      </c>
      <c r="C33" s="17">
        <f t="shared" si="1"/>
        <v>-1550</v>
      </c>
      <c r="D33" s="18">
        <f>SUM(B$8:B33)</f>
        <v>1950</v>
      </c>
    </row>
    <row r="34" spans="1:4" x14ac:dyDescent="0.25">
      <c r="A34" s="5">
        <f t="shared" si="0"/>
        <v>45660</v>
      </c>
      <c r="B34" s="6">
        <v>75</v>
      </c>
      <c r="C34" s="17">
        <f t="shared" si="1"/>
        <v>-1475</v>
      </c>
      <c r="D34" s="18">
        <f>SUM(B$8:B34)</f>
        <v>2025</v>
      </c>
    </row>
    <row r="35" spans="1:4" x14ac:dyDescent="0.25">
      <c r="A35" s="5">
        <f t="shared" si="0"/>
        <v>45674</v>
      </c>
      <c r="B35" s="6">
        <v>75</v>
      </c>
      <c r="C35" s="17">
        <f t="shared" si="1"/>
        <v>-1400</v>
      </c>
      <c r="D35" s="18">
        <f>SUM(B$8:B35)</f>
        <v>2100</v>
      </c>
    </row>
    <row r="36" spans="1:4" x14ac:dyDescent="0.25">
      <c r="A36" s="5">
        <f t="shared" si="0"/>
        <v>45688</v>
      </c>
      <c r="B36" s="6">
        <v>75</v>
      </c>
      <c r="C36" s="17">
        <f t="shared" si="1"/>
        <v>-1325</v>
      </c>
      <c r="D36" s="18">
        <f>SUM(B$8:B36)</f>
        <v>2175</v>
      </c>
    </row>
    <row r="37" spans="1:4" x14ac:dyDescent="0.25">
      <c r="A37" s="5">
        <f t="shared" si="0"/>
        <v>45702</v>
      </c>
      <c r="B37" s="6">
        <v>75</v>
      </c>
      <c r="C37" s="17">
        <f t="shared" si="1"/>
        <v>-1250</v>
      </c>
      <c r="D37" s="18">
        <f>SUM(B$8:B37)</f>
        <v>2250</v>
      </c>
    </row>
    <row r="38" spans="1:4" x14ac:dyDescent="0.25">
      <c r="A38" s="5">
        <f t="shared" si="0"/>
        <v>45716</v>
      </c>
      <c r="B38" s="6">
        <v>75</v>
      </c>
      <c r="C38" s="17">
        <f t="shared" si="1"/>
        <v>-1175</v>
      </c>
      <c r="D38" s="18">
        <f>SUM(B$8:B38)</f>
        <v>2325</v>
      </c>
    </row>
    <row r="39" spans="1:4" x14ac:dyDescent="0.25">
      <c r="A39" s="5">
        <f t="shared" si="0"/>
        <v>45730</v>
      </c>
      <c r="B39" s="6">
        <v>75</v>
      </c>
      <c r="C39" s="17">
        <f t="shared" si="1"/>
        <v>-1100</v>
      </c>
      <c r="D39" s="18">
        <f>SUM(B$8:B39)</f>
        <v>2400</v>
      </c>
    </row>
    <row r="40" spans="1:4" x14ac:dyDescent="0.25">
      <c r="A40" s="5">
        <f t="shared" si="0"/>
        <v>45744</v>
      </c>
      <c r="B40" s="6">
        <v>75</v>
      </c>
      <c r="C40" s="17">
        <f t="shared" si="1"/>
        <v>-1025</v>
      </c>
      <c r="D40" s="18">
        <f>SUM(B$8:B40)</f>
        <v>2475</v>
      </c>
    </row>
    <row r="41" spans="1:4" x14ac:dyDescent="0.25">
      <c r="A41" s="5">
        <f t="shared" si="0"/>
        <v>45758</v>
      </c>
      <c r="B41" s="6">
        <v>75</v>
      </c>
      <c r="C41" s="17">
        <f t="shared" si="1"/>
        <v>-950</v>
      </c>
      <c r="D41" s="18">
        <f>SUM(B$8:B41)</f>
        <v>2550</v>
      </c>
    </row>
    <row r="42" spans="1:4" x14ac:dyDescent="0.25">
      <c r="A42" s="5">
        <f t="shared" si="0"/>
        <v>45772</v>
      </c>
      <c r="B42" s="6">
        <v>75</v>
      </c>
      <c r="C42" s="17">
        <f t="shared" si="1"/>
        <v>-875</v>
      </c>
      <c r="D42" s="18">
        <f>SUM(B$8:B42)</f>
        <v>2625</v>
      </c>
    </row>
    <row r="43" spans="1:4" x14ac:dyDescent="0.25">
      <c r="A43" s="5">
        <f t="shared" si="0"/>
        <v>45786</v>
      </c>
      <c r="B43" s="6">
        <v>75</v>
      </c>
      <c r="C43" s="17">
        <f t="shared" si="1"/>
        <v>-800</v>
      </c>
      <c r="D43" s="18">
        <f>SUM(B$8:B43)</f>
        <v>2700</v>
      </c>
    </row>
    <row r="44" spans="1:4" x14ac:dyDescent="0.25">
      <c r="A44" s="5">
        <f t="shared" si="0"/>
        <v>45800</v>
      </c>
      <c r="B44" s="6">
        <v>75</v>
      </c>
      <c r="C44" s="17">
        <f t="shared" ref="C44:C46" si="2">C43+B44</f>
        <v>-725</v>
      </c>
      <c r="D44" s="18">
        <f>SUM(B$8:B44)</f>
        <v>2775</v>
      </c>
    </row>
    <row r="45" spans="1:4" x14ac:dyDescent="0.25">
      <c r="A45" s="5">
        <f t="shared" si="0"/>
        <v>45814</v>
      </c>
      <c r="B45" s="6">
        <v>75</v>
      </c>
      <c r="C45" s="17">
        <f t="shared" si="2"/>
        <v>-650</v>
      </c>
      <c r="D45" s="18">
        <f>SUM(B$8:B45)</f>
        <v>2850</v>
      </c>
    </row>
    <row r="46" spans="1:4" x14ac:dyDescent="0.25">
      <c r="A46" s="5">
        <f t="shared" si="0"/>
        <v>45828</v>
      </c>
      <c r="B46" s="6">
        <v>75</v>
      </c>
      <c r="C46" s="17">
        <f t="shared" si="2"/>
        <v>-575</v>
      </c>
      <c r="D46" s="18">
        <f>SUM(B$8:B46)</f>
        <v>2925</v>
      </c>
    </row>
    <row r="47" spans="1:4" x14ac:dyDescent="0.25">
      <c r="A47" s="5">
        <f t="shared" ref="A47:A54" si="3">A46+14</f>
        <v>45842</v>
      </c>
      <c r="B47" s="6">
        <v>75</v>
      </c>
      <c r="C47" s="17">
        <f t="shared" ref="C47:C54" si="4">C46+B47</f>
        <v>-500</v>
      </c>
      <c r="D47" s="18">
        <f>SUM(B$8:B47)</f>
        <v>3000</v>
      </c>
    </row>
    <row r="48" spans="1:4" x14ac:dyDescent="0.25">
      <c r="A48" s="5">
        <f t="shared" si="3"/>
        <v>45856</v>
      </c>
      <c r="B48" s="6">
        <v>75</v>
      </c>
      <c r="C48" s="17">
        <f t="shared" si="4"/>
        <v>-425</v>
      </c>
      <c r="D48" s="18">
        <f>SUM(B$8:B48)</f>
        <v>3075</v>
      </c>
    </row>
    <row r="49" spans="1:4" x14ac:dyDescent="0.25">
      <c r="A49" s="5">
        <f t="shared" si="3"/>
        <v>45870</v>
      </c>
      <c r="B49" s="6">
        <v>75</v>
      </c>
      <c r="C49" s="17">
        <f t="shared" si="4"/>
        <v>-350</v>
      </c>
      <c r="D49" s="18">
        <f>SUM(B$8:B49)</f>
        <v>3150</v>
      </c>
    </row>
    <row r="50" spans="1:4" x14ac:dyDescent="0.25">
      <c r="A50" s="5">
        <f t="shared" si="3"/>
        <v>45884</v>
      </c>
      <c r="B50" s="6">
        <v>75</v>
      </c>
      <c r="C50" s="17">
        <f t="shared" si="4"/>
        <v>-275</v>
      </c>
      <c r="D50" s="18">
        <f>SUM(B$8:B50)</f>
        <v>3225</v>
      </c>
    </row>
    <row r="51" spans="1:4" x14ac:dyDescent="0.25">
      <c r="A51" s="5">
        <f t="shared" si="3"/>
        <v>45898</v>
      </c>
      <c r="B51" s="6">
        <v>75</v>
      </c>
      <c r="C51" s="17">
        <f t="shared" si="4"/>
        <v>-200</v>
      </c>
      <c r="D51" s="18">
        <f>SUM(B$8:B51)</f>
        <v>3300</v>
      </c>
    </row>
    <row r="52" spans="1:4" x14ac:dyDescent="0.25">
      <c r="A52" s="5">
        <f t="shared" si="3"/>
        <v>45912</v>
      </c>
      <c r="B52" s="6">
        <v>75</v>
      </c>
      <c r="C52" s="17">
        <f t="shared" si="4"/>
        <v>-125</v>
      </c>
      <c r="D52" s="18">
        <f>SUM(B$8:B52)</f>
        <v>3375</v>
      </c>
    </row>
    <row r="53" spans="1:4" x14ac:dyDescent="0.25">
      <c r="A53" s="5">
        <f t="shared" si="3"/>
        <v>45926</v>
      </c>
      <c r="B53" s="6">
        <v>75</v>
      </c>
      <c r="C53" s="17">
        <f t="shared" si="4"/>
        <v>-50</v>
      </c>
      <c r="D53" s="18">
        <f>SUM(B$8:B53)</f>
        <v>3450</v>
      </c>
    </row>
    <row r="54" spans="1:4" x14ac:dyDescent="0.25">
      <c r="A54" s="5">
        <f t="shared" si="3"/>
        <v>45940</v>
      </c>
      <c r="B54" s="6">
        <v>50</v>
      </c>
      <c r="C54" s="17">
        <f t="shared" si="4"/>
        <v>0</v>
      </c>
      <c r="D54" s="18">
        <f>SUM(B$8:B54)</f>
        <v>3500</v>
      </c>
    </row>
  </sheetData>
  <mergeCells count="1">
    <mergeCell ref="A1:D1"/>
  </mergeCells>
  <printOptions horizontalCentered="1"/>
  <pageMargins left="0.25" right="0.25" top="0.75" bottom="0.75" header="0.3" footer="0.3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Sheet1 (2)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Reid</dc:creator>
  <cp:lastModifiedBy>Ian Reid</cp:lastModifiedBy>
  <cp:lastPrinted>2024-09-07T20:52:28Z</cp:lastPrinted>
  <dcterms:created xsi:type="dcterms:W3CDTF">2024-02-12T14:59:27Z</dcterms:created>
  <dcterms:modified xsi:type="dcterms:W3CDTF">2024-09-07T20:53:04Z</dcterms:modified>
</cp:coreProperties>
</file>